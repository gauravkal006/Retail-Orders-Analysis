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onthly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Categories" sheetId="4" state="visible" r:id="rId4"/>
    <sheet xmlns:r="http://schemas.openxmlformats.org/officeDocument/2006/relationships" name="Profit Growth" sheetId="5" state="visible" r:id="rId5"/>
    <sheet xmlns:r="http://schemas.openxmlformats.org/officeDocument/2006/relationships" name="Regions &amp; Segments" sheetId="6" state="visible" r:id="rId6"/>
    <sheet xmlns:r="http://schemas.openxmlformats.org/officeDocument/2006/relationships" name="Discount" sheetId="7" state="visible" r:id="rId7"/>
    <sheet xmlns:r="http://schemas.openxmlformats.org/officeDocument/2006/relationships" name="Abou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-#,##0"/>
    <numFmt numFmtId="165" formatCode="0.00&quot;%&quot;"/>
  </numFmts>
  <fonts count="8">
    <font>
      <name val="Calibri"/>
      <family val="2"/>
      <color theme="1"/>
      <sz val="11"/>
      <scheme val="minor"/>
    </font>
    <font>
      <name val="Calibri"/>
      <b val="1"/>
      <color rgb="002F4A6D"/>
      <sz val="12"/>
    </font>
    <font>
      <name val="Calibri"/>
      <b val="1"/>
      <color rgb="00FFFFFF"/>
      <sz val="11"/>
    </font>
    <font>
      <name val="Calibri"/>
      <b val="1"/>
      <color rgb="002F4A6D"/>
      <sz val="16"/>
    </font>
    <font>
      <name val="Calibri"/>
      <i val="1"/>
      <color rgb="00595959"/>
      <sz val="10"/>
    </font>
    <font>
      <name val="Calibri"/>
      <color rgb="00595959"/>
      <sz val="10"/>
    </font>
    <font>
      <name val="Calibri"/>
      <b val="1"/>
      <sz val="11"/>
    </font>
    <font/>
  </fonts>
  <fills count="3">
    <fill>
      <patternFill/>
    </fill>
    <fill>
      <patternFill patternType="gray125"/>
    </fill>
    <fill>
      <patternFill patternType="solid">
        <fgColor rgb="002F4A6D"/>
      </patternFill>
    </fill>
  </fills>
  <borders count="7">
    <border>
      <left/>
      <right/>
      <top/>
      <bottom/>
      <diagonal/>
    </border>
    <border>
      <top style="thin">
        <color rgb="00BFBFBF"/>
      </top>
      <bottom style="thin">
        <color rgb="00BFBFBF"/>
      </bottom>
    </border>
    <border>
      <bottom style="thin">
        <color rgb="00BFBFBF"/>
      </bottom>
    </border>
    <border>
      <left style="thin">
        <color rgb="00BFBFBF"/>
      </left>
      <top style="thin">
        <color rgb="00BFBFBF"/>
      </top>
    </border>
    <border>
      <right style="thin">
        <color rgb="00BFBFBF"/>
      </right>
      <top style="thin">
        <color rgb="00BFBFBF"/>
      </top>
    </border>
    <border>
      <left style="thin">
        <color rgb="00BFBFBF"/>
      </left>
      <bottom style="thin">
        <color rgb="00BFBFBF"/>
      </bottom>
    </border>
    <border>
      <right style="thin">
        <color rgb="00BFBFBF"/>
      </right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3" applyAlignment="1" pivotButton="0" quotePrefix="0" xfId="0">
      <alignment horizontal="center"/>
    </xf>
    <xf numFmtId="0" fontId="0" fillId="0" borderId="4" pivotButton="0" quotePrefix="0" xfId="0"/>
    <xf numFmtId="164" fontId="3" fillId="0" borderId="5" applyAlignment="1" pivotButton="0" quotePrefix="0" xfId="0">
      <alignment horizontal="center"/>
    </xf>
    <xf numFmtId="0" fontId="0" fillId="0" borderId="6" pivotButton="0" quotePrefix="0" xfId="0"/>
    <xf numFmtId="165" fontId="3" fillId="0" borderId="5" applyAlignment="1" pivotButton="0" quotePrefix="0" xfId="0">
      <alignment horizontal="center"/>
    </xf>
    <xf numFmtId="3" fontId="3" fillId="0" borderId="5" applyAlignment="1" pivotButton="0" quotePrefix="0" xfId="0">
      <alignment horizontal="center"/>
    </xf>
    <xf numFmtId="4" fontId="3" fillId="0" borderId="5" applyAlignment="1" pivotButton="0" quotePrefix="0" xfId="0">
      <alignment horizontal="center"/>
    </xf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2" pivotButton="0" quotePrefix="0" xfId="0"/>
    <xf numFmtId="164" fontId="0" fillId="0" borderId="2" pivotButton="0" quotePrefix="0" xfId="0"/>
    <xf numFmtId="165" fontId="0" fillId="0" borderId="2" pivotButton="0" quotePrefix="0" xfId="0"/>
    <xf numFmtId="3" fontId="0" fillId="0" borderId="0" pivotButton="0" quotePrefix="0" xfId="0"/>
    <xf numFmtId="4" fontId="0" fillId="0" borderId="0" pivotButton="0" quotePrefix="0" xfId="0"/>
    <xf numFmtId="3" fontId="0" fillId="0" borderId="2" pivotButton="0" quotePrefix="0" xfId="0"/>
    <xf numFmtId="4" fontId="0" fillId="0" borderId="2" pivotButton="0" quotePrefix="0" xfId="0"/>
    <xf numFmtId="0" fontId="2" fillId="2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dxfs count="1">
    <dxf>
      <font>
        <color rgb="009C000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sales, 2022 vs 2023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'Monthly'!B2</f>
            </strRef>
          </tx>
          <spPr>
            <a:ln xmlns:a="http://schemas.openxmlformats.org/drawingml/2006/main" w="22000">
              <a:solidFill>
                <a:srgbClr val="8FA9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'Monthly'!$A$3:$A$14</f>
            </numRef>
          </cat>
          <val>
            <numRef>
              <f>'Monthly'!$B$3:$B$14</f>
            </numRef>
          </val>
          <smooth val="0"/>
        </ser>
        <ser>
          <idx val="1"/>
          <order val="1"/>
          <tx>
            <strRef>
              <f>'Monthly'!C2</f>
            </strRef>
          </tx>
          <spPr>
            <a:ln xmlns:a="http://schemas.openxmlformats.org/drawingml/2006/main" w="22000">
              <a:solidFill>
                <a:srgbClr val="2F4A6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'Monthly'!$A$3:$A$14</f>
            </numRef>
          </cat>
          <val>
            <numRef>
              <f>'Monthly'!$C$3:$C$14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numFmt formatCode="#,##0" sourceLinked="0"/>
        <majorTickMark val="none"/>
        <minorTickMark val="none"/>
        <crossAx val="10"/>
      </valAx>
    </plotArea>
    <legend>
      <legendPos val="t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products by revenue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'Products'!B2</f>
            </strRef>
          </tx>
          <spPr>
            <a:solidFill xmlns:a="http://schemas.openxmlformats.org/drawingml/2006/main">
              <a:srgbClr val="2F4A6D"/>
            </a:solidFill>
            <a:ln xmlns:a="http://schemas.openxmlformats.org/drawingml/2006/main">
              <a:solidFill>
                <a:srgbClr val="2F4A6D"/>
              </a:solidFill>
              <a:prstDash val="solid"/>
            </a:ln>
          </spPr>
          <invertIfNegative val="0"/>
          <cat>
            <numRef>
              <f>'Products'!$A$3:$A$12</f>
            </numRef>
          </cat>
          <val>
            <numRef>
              <f>'Products'!$B$3:$B$12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numFmt formatCode="#,##0" sourceLinked="0"/>
        <majorTickMark val="none"/>
        <minorTickMark val="none"/>
        <crossAx val="10"/>
        <crosses val="max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Category share of sales and profit (%)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'Categories'!C2</f>
            </strRef>
          </tx>
          <spPr>
            <a:solidFill xmlns:a="http://schemas.openxmlformats.org/drawingml/2006/main">
              <a:srgbClr val="8FA9C6"/>
            </a:solidFill>
            <a:ln xmlns:a="http://schemas.openxmlformats.org/drawingml/2006/main">
              <a:solidFill>
                <a:srgbClr val="8FA9C6"/>
              </a:solidFill>
              <a:prstDash val="solid"/>
            </a:ln>
          </spPr>
          <invertIfNegative val="0"/>
          <cat>
            <numRef>
              <f>'Categories'!$A$3:$A$5</f>
            </numRef>
          </cat>
          <val>
            <numRef>
              <f>'Categories'!$C$3:$C$5</f>
            </numRef>
          </val>
        </ser>
        <ser>
          <idx val="1"/>
          <order val="1"/>
          <tx>
            <strRef>
              <f>'Categories'!E2</f>
            </strRef>
          </tx>
          <spPr>
            <a:solidFill xmlns:a="http://schemas.openxmlformats.org/drawingml/2006/main">
              <a:srgbClr val="2F4A6D"/>
            </a:solidFill>
            <a:ln xmlns:a="http://schemas.openxmlformats.org/drawingml/2006/main">
              <a:solidFill>
                <a:srgbClr val="2F4A6D"/>
              </a:solidFill>
              <a:prstDash val="solid"/>
            </a:ln>
          </spPr>
          <invertIfNegative val="0"/>
          <cat>
            <numRef>
              <f>'Categories'!$A$3:$A$5</f>
            </numRef>
          </cat>
          <val>
            <numRef>
              <f>'Categories'!$E$3:$E$5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majorTickMark val="none"/>
        <minorTickMark val="none"/>
        <crossAx val="10"/>
      </valAx>
    </plotArea>
    <legend>
      <legendPos val="t"/>
    </legend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margin by region (%)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'Regions &amp; Segments'!D2</f>
            </strRef>
          </tx>
          <spPr>
            <a:solidFill xmlns:a="http://schemas.openxmlformats.org/drawingml/2006/main">
              <a:srgbClr val="2F4A6D"/>
            </a:solidFill>
            <a:ln xmlns:a="http://schemas.openxmlformats.org/drawingml/2006/main">
              <a:solidFill>
                <a:srgbClr val="2F4A6D"/>
              </a:solidFill>
              <a:prstDash val="solid"/>
            </a:ln>
          </spPr>
          <invertIfNegative val="0"/>
          <cat>
            <numRef>
              <f>'Regions &amp; Segments'!$A$3:$A$6</f>
            </numRef>
          </cat>
          <val>
            <numRef>
              <f>'Regions &amp; Segments'!$D$3:$D$6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margin (%) by discount % given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'Discount'!F2</f>
            </strRef>
          </tx>
          <spPr>
            <a:solidFill xmlns:a="http://schemas.openxmlformats.org/drawingml/2006/main">
              <a:srgbClr val="2F4A6D"/>
            </a:solidFill>
            <a:ln xmlns:a="http://schemas.openxmlformats.org/drawingml/2006/main">
              <a:solidFill>
                <a:srgbClr val="2F4A6D"/>
              </a:solidFill>
              <a:prstDash val="solid"/>
            </a:ln>
          </spPr>
          <invertIfNegative val="0"/>
          <cat>
            <numRef>
              <f>'Discount'!$A$3:$A$6</f>
            </numRef>
          </cat>
          <val>
            <numRef>
              <f>'Discount'!$F$3:$F$6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growth by sub-category, 2023 vs 2022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'Profit Growth'!D2</f>
            </strRef>
          </tx>
          <spPr>
            <a:solidFill xmlns:a="http://schemas.openxmlformats.org/drawingml/2006/main">
              <a:srgbClr val="2F4A6D"/>
            </a:solidFill>
            <a:ln xmlns:a="http://schemas.openxmlformats.org/drawingml/2006/main">
              <a:solidFill>
                <a:srgbClr val="2F4A6D"/>
              </a:solidFill>
              <a:prstDash val="solid"/>
            </a:ln>
          </spPr>
          <invertIfNegative val="0"/>
          <cat>
            <numRef>
              <f>'Profit Growth'!$A$3:$A$19</f>
            </numRef>
          </cat>
          <val>
            <numRef>
              <f>'Profit Growth'!$D$3:$D$19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ickLblPos val="low"/>
        <crossAx val="100"/>
        <lblOffset val="100"/>
        <tickLblSkip val="1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numFmt formatCode="#,##0" sourceLinked="0"/>
        <majorTickMark val="none"/>
        <minorTickMark val="none"/>
        <crossAx val="10"/>
        <crosses val="max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6</row>
      <rowOff>0</rowOff>
    </from>
    <ext cx="504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22</row>
      <rowOff>0</rowOff>
    </from>
    <ext cx="576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8</col>
      <colOff>0</colOff>
      <row>22</row>
      <rowOff>0</rowOff>
    </from>
    <ext cx="504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38</row>
      <rowOff>0</rowOff>
    </from>
    <ext cx="5760000" cy="27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8</col>
      <colOff>0</colOff>
      <row>38</row>
      <rowOff>0</rowOff>
    </from>
    <ext cx="5040000" cy="27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Retail Orders Dashboard</t>
        </is>
      </c>
    </row>
    <row r="2">
      <c r="A2" s="2" t="inlineStr">
        <is>
          <t>Order lines from 2022-01-01 to 2023-12-31. Source: Kaggle 'Retail Orders' (ankitbansal06). Figures come from sql/analysis.sql.</t>
        </is>
      </c>
    </row>
    <row r="4">
      <c r="A4" s="3" t="inlineStr">
        <is>
          <t>Total sales</t>
        </is>
      </c>
      <c r="B4" s="4" t="n"/>
      <c r="C4" s="3" t="inlineStr">
        <is>
          <t>Total profit</t>
        </is>
      </c>
      <c r="D4" s="4" t="n"/>
      <c r="E4" s="3" t="inlineStr">
        <is>
          <t>Profit margin</t>
        </is>
      </c>
      <c r="F4" s="4" t="n"/>
      <c r="G4" s="3" t="inlineStr">
        <is>
          <t>Orders</t>
        </is>
      </c>
      <c r="H4" s="4" t="n"/>
      <c r="I4" s="3" t="inlineStr">
        <is>
          <t>Avg order value</t>
        </is>
      </c>
      <c r="J4" s="4" t="n"/>
      <c r="K4" s="3" t="inlineStr">
        <is>
          <t>Sales growth 2023 vs 2022</t>
        </is>
      </c>
      <c r="L4" s="4" t="n"/>
    </row>
    <row r="5" ht="28" customHeight="1">
      <c r="A5" s="5" t="n">
        <v>2215858.7</v>
      </c>
      <c r="B5" s="6" t="n"/>
      <c r="C5" s="5" t="n">
        <v>205168.7</v>
      </c>
      <c r="D5" s="6" t="n"/>
      <c r="E5" s="7" t="n">
        <v>9.26</v>
      </c>
      <c r="F5" s="6" t="n"/>
      <c r="G5" s="8" t="n">
        <v>9994</v>
      </c>
      <c r="H5" s="6" t="n"/>
      <c r="I5" s="9" t="n">
        <v>221.72</v>
      </c>
      <c r="J5" s="6" t="n"/>
      <c r="K5" s="7" t="n">
        <v>2.25</v>
      </c>
      <c r="L5" s="6" t="n"/>
    </row>
  </sheetData>
  <mergeCells count="12">
    <mergeCell ref="A4:B4"/>
    <mergeCell ref="G4:H4"/>
    <mergeCell ref="E4:F4"/>
    <mergeCell ref="I4:J4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18" customWidth="1" min="7" max="7"/>
    <col width="10" customWidth="1" min="8" max="8"/>
    <col width="19" customWidth="1" min="9" max="9"/>
  </cols>
  <sheetData>
    <row r="1">
      <c r="A1" s="10" t="inlineStr">
        <is>
          <t>Monthly sales, 2022 vs 2023 (Q3)</t>
        </is>
      </c>
      <c r="G1" s="10" t="inlineStr">
        <is>
          <t>Year-to-date running total (Q6)</t>
        </is>
      </c>
    </row>
    <row r="2">
      <c r="A2" s="11" t="inlineStr">
        <is>
          <t>Month</t>
        </is>
      </c>
      <c r="B2" s="11" t="inlineStr">
        <is>
          <t>Sales 2022</t>
        </is>
      </c>
      <c r="C2" s="11" t="inlineStr">
        <is>
          <t>Sales 2023</t>
        </is>
      </c>
      <c r="D2" s="11" t="inlineStr">
        <is>
          <t>Growth %</t>
        </is>
      </c>
      <c r="G2" s="11" t="inlineStr">
        <is>
          <t>Order year month</t>
        </is>
      </c>
      <c r="H2" s="11" t="inlineStr">
        <is>
          <t>Sales</t>
        </is>
      </c>
      <c r="I2" s="11" t="inlineStr">
        <is>
          <t>Running total ytd</t>
        </is>
      </c>
    </row>
    <row r="3">
      <c r="A3" t="inlineStr">
        <is>
          <t>Jan</t>
        </is>
      </c>
      <c r="B3" s="12" t="n">
        <v>94712.5</v>
      </c>
      <c r="C3" s="12" t="n">
        <v>88632.60000000001</v>
      </c>
      <c r="D3" s="13" t="n">
        <v>-6.42</v>
      </c>
      <c r="G3" t="inlineStr">
        <is>
          <t>2022-01</t>
        </is>
      </c>
      <c r="H3" s="12" t="n">
        <v>94712.5</v>
      </c>
      <c r="I3" s="12" t="n">
        <v>94712.5</v>
      </c>
    </row>
    <row r="4">
      <c r="A4" t="inlineStr">
        <is>
          <t>Feb</t>
        </is>
      </c>
      <c r="B4" s="12" t="n">
        <v>90091</v>
      </c>
      <c r="C4" s="12" t="n">
        <v>128124.2</v>
      </c>
      <c r="D4" s="13" t="n">
        <v>42.22</v>
      </c>
      <c r="G4" t="inlineStr">
        <is>
          <t>2022-02</t>
        </is>
      </c>
      <c r="H4" s="12" t="n">
        <v>90091</v>
      </c>
      <c r="I4" s="12" t="n">
        <v>184803.5</v>
      </c>
    </row>
    <row r="5">
      <c r="A5" t="inlineStr">
        <is>
          <t>Mar</t>
        </is>
      </c>
      <c r="B5" s="12" t="n">
        <v>80106</v>
      </c>
      <c r="C5" s="12" t="n">
        <v>82512.3</v>
      </c>
      <c r="D5" s="13" t="n">
        <v>3</v>
      </c>
      <c r="G5" t="inlineStr">
        <is>
          <t>2022-03</t>
        </is>
      </c>
      <c r="H5" s="12" t="n">
        <v>80106</v>
      </c>
      <c r="I5" s="12" t="n">
        <v>264909.5</v>
      </c>
    </row>
    <row r="6">
      <c r="A6" t="inlineStr">
        <is>
          <t>Apr</t>
        </is>
      </c>
      <c r="B6" s="12" t="n">
        <v>95451.60000000001</v>
      </c>
      <c r="C6" s="12" t="n">
        <v>111568.6</v>
      </c>
      <c r="D6" s="13" t="n">
        <v>16.88</v>
      </c>
      <c r="G6" t="inlineStr">
        <is>
          <t>2022-04</t>
        </is>
      </c>
      <c r="H6" s="12" t="n">
        <v>95451.60000000001</v>
      </c>
      <c r="I6" s="12" t="n">
        <v>360361.1</v>
      </c>
    </row>
    <row r="7">
      <c r="A7" t="inlineStr">
        <is>
          <t>May</t>
        </is>
      </c>
      <c r="B7" s="12" t="n">
        <v>79448.3</v>
      </c>
      <c r="C7" s="12" t="n">
        <v>86447.89999999999</v>
      </c>
      <c r="D7" s="13" t="n">
        <v>8.81</v>
      </c>
      <c r="G7" t="inlineStr">
        <is>
          <t>2022-05</t>
        </is>
      </c>
      <c r="H7" s="12" t="n">
        <v>79448.3</v>
      </c>
      <c r="I7" s="12" t="n">
        <v>439809.4</v>
      </c>
    </row>
    <row r="8">
      <c r="A8" t="inlineStr">
        <is>
          <t>Jun</t>
        </is>
      </c>
      <c r="B8" s="12" t="n">
        <v>94170.5</v>
      </c>
      <c r="C8" s="12" t="n">
        <v>68976.5</v>
      </c>
      <c r="D8" s="13" t="n">
        <v>-26.75</v>
      </c>
      <c r="G8" t="inlineStr">
        <is>
          <t>2022-06</t>
        </is>
      </c>
      <c r="H8" s="12" t="n">
        <v>94170.5</v>
      </c>
      <c r="I8" s="12" t="n">
        <v>533979.9</v>
      </c>
    </row>
    <row r="9">
      <c r="A9" t="inlineStr">
        <is>
          <t>Jul</t>
        </is>
      </c>
      <c r="B9" s="12" t="n">
        <v>78652.2</v>
      </c>
      <c r="C9" s="12" t="n">
        <v>90563.8</v>
      </c>
      <c r="D9" s="13" t="n">
        <v>15.14</v>
      </c>
      <c r="G9" t="inlineStr">
        <is>
          <t>2022-07</t>
        </is>
      </c>
      <c r="H9" s="12" t="n">
        <v>78652.2</v>
      </c>
      <c r="I9" s="12" t="n">
        <v>612632.1</v>
      </c>
    </row>
    <row r="10">
      <c r="A10" t="inlineStr">
        <is>
          <t>Aug</t>
        </is>
      </c>
      <c r="B10" s="12" t="n">
        <v>104808</v>
      </c>
      <c r="C10" s="12" t="n">
        <v>87733.60000000001</v>
      </c>
      <c r="D10" s="13" t="n">
        <v>-16.29</v>
      </c>
      <c r="G10" t="inlineStr">
        <is>
          <t>2022-08</t>
        </is>
      </c>
      <c r="H10" s="12" t="n">
        <v>104808</v>
      </c>
      <c r="I10" s="12" t="n">
        <v>717440.1</v>
      </c>
    </row>
    <row r="11">
      <c r="A11" t="inlineStr">
        <is>
          <t>Sep</t>
        </is>
      </c>
      <c r="B11" s="12" t="n">
        <v>79142.2</v>
      </c>
      <c r="C11" s="12" t="n">
        <v>76658.60000000001</v>
      </c>
      <c r="D11" s="13" t="n">
        <v>-3.14</v>
      </c>
      <c r="G11" t="inlineStr">
        <is>
          <t>2022-09</t>
        </is>
      </c>
      <c r="H11" s="12" t="n">
        <v>79142.2</v>
      </c>
      <c r="I11" s="12" t="n">
        <v>796582.3</v>
      </c>
    </row>
    <row r="12">
      <c r="A12" t="inlineStr">
        <is>
          <t>Oct</t>
        </is>
      </c>
      <c r="B12" s="12" t="n">
        <v>118912.7</v>
      </c>
      <c r="C12" s="12" t="n">
        <v>121061.5</v>
      </c>
      <c r="D12" s="13" t="n">
        <v>1.81</v>
      </c>
      <c r="G12" t="inlineStr">
        <is>
          <t>2022-10</t>
        </is>
      </c>
      <c r="H12" s="12" t="n">
        <v>118912.7</v>
      </c>
      <c r="I12" s="12" t="n">
        <v>915495</v>
      </c>
    </row>
    <row r="13">
      <c r="A13" t="inlineStr">
        <is>
          <t>Nov</t>
        </is>
      </c>
      <c r="B13" s="12" t="n">
        <v>84225.3</v>
      </c>
      <c r="C13" s="12" t="n">
        <v>75432.8</v>
      </c>
      <c r="D13" s="13" t="n">
        <v>-10.44</v>
      </c>
      <c r="G13" t="inlineStr">
        <is>
          <t>2022-11</t>
        </is>
      </c>
      <c r="H13" s="12" t="n">
        <v>84225.3</v>
      </c>
      <c r="I13" s="12" t="n">
        <v>999720.3</v>
      </c>
    </row>
    <row r="14">
      <c r="A14" s="14" t="inlineStr">
        <is>
          <t>Dec</t>
        </is>
      </c>
      <c r="B14" s="15" t="n">
        <v>95869.89999999999</v>
      </c>
      <c r="C14" s="15" t="n">
        <v>102556.1</v>
      </c>
      <c r="D14" s="16" t="n">
        <v>6.97</v>
      </c>
      <c r="G14" t="inlineStr">
        <is>
          <t>2022-12</t>
        </is>
      </c>
      <c r="H14" s="12" t="n">
        <v>95869.89999999999</v>
      </c>
      <c r="I14" s="12" t="n">
        <v>1095590.2</v>
      </c>
    </row>
    <row r="15">
      <c r="G15" t="inlineStr">
        <is>
          <t>2023-01</t>
        </is>
      </c>
      <c r="H15" s="12" t="n">
        <v>88632.60000000001</v>
      </c>
      <c r="I15" s="12" t="n">
        <v>88632.60000000001</v>
      </c>
    </row>
    <row r="16">
      <c r="G16" t="inlineStr">
        <is>
          <t>2023-02</t>
        </is>
      </c>
      <c r="H16" s="12" t="n">
        <v>128124.2</v>
      </c>
      <c r="I16" s="12" t="n">
        <v>216756.8</v>
      </c>
    </row>
    <row r="17">
      <c r="G17" t="inlineStr">
        <is>
          <t>2023-03</t>
        </is>
      </c>
      <c r="H17" s="12" t="n">
        <v>82512.3</v>
      </c>
      <c r="I17" s="12" t="n">
        <v>299269.1</v>
      </c>
    </row>
    <row r="18">
      <c r="G18" t="inlineStr">
        <is>
          <t>2023-04</t>
        </is>
      </c>
      <c r="H18" s="12" t="n">
        <v>111568.6</v>
      </c>
      <c r="I18" s="12" t="n">
        <v>410837.7</v>
      </c>
    </row>
    <row r="19">
      <c r="G19" t="inlineStr">
        <is>
          <t>2023-05</t>
        </is>
      </c>
      <c r="H19" s="12" t="n">
        <v>86447.89999999999</v>
      </c>
      <c r="I19" s="12" t="n">
        <v>497285.6</v>
      </c>
    </row>
    <row r="20">
      <c r="G20" t="inlineStr">
        <is>
          <t>2023-06</t>
        </is>
      </c>
      <c r="H20" s="12" t="n">
        <v>68976.5</v>
      </c>
      <c r="I20" s="12" t="n">
        <v>566262.1</v>
      </c>
    </row>
    <row r="21">
      <c r="G21" t="inlineStr">
        <is>
          <t>2023-07</t>
        </is>
      </c>
      <c r="H21" s="12" t="n">
        <v>90563.8</v>
      </c>
      <c r="I21" s="12" t="n">
        <v>656825.9</v>
      </c>
    </row>
    <row r="22">
      <c r="G22" t="inlineStr">
        <is>
          <t>2023-08</t>
        </is>
      </c>
      <c r="H22" s="12" t="n">
        <v>87733.60000000001</v>
      </c>
      <c r="I22" s="12" t="n">
        <v>744559.5</v>
      </c>
    </row>
    <row r="23">
      <c r="G23" t="inlineStr">
        <is>
          <t>2023-09</t>
        </is>
      </c>
      <c r="H23" s="12" t="n">
        <v>76658.60000000001</v>
      </c>
      <c r="I23" s="12" t="n">
        <v>821218.1</v>
      </c>
    </row>
    <row r="24">
      <c r="G24" t="inlineStr">
        <is>
          <t>2023-10</t>
        </is>
      </c>
      <c r="H24" s="12" t="n">
        <v>121061.5</v>
      </c>
      <c r="I24" s="12" t="n">
        <v>942279.6</v>
      </c>
    </row>
    <row r="25">
      <c r="G25" t="inlineStr">
        <is>
          <t>2023-11</t>
        </is>
      </c>
      <c r="H25" s="12" t="n">
        <v>75432.8</v>
      </c>
      <c r="I25" s="12" t="n">
        <v>1017712.4</v>
      </c>
    </row>
    <row r="26">
      <c r="G26" s="14" t="inlineStr">
        <is>
          <t>2023-12</t>
        </is>
      </c>
      <c r="H26" s="15" t="n">
        <v>102556.1</v>
      </c>
      <c r="I26" s="15" t="n">
        <v>1120268.5</v>
      </c>
    </row>
  </sheetData>
  <conditionalFormatting sqref="D3:D14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7" customWidth="1" min="7" max="7"/>
    <col width="10" customWidth="1" min="8" max="8"/>
  </cols>
  <sheetData>
    <row r="1">
      <c r="A1" s="10" t="inlineStr">
        <is>
          <t>Top 10 products by revenue (Q1)</t>
        </is>
      </c>
      <c r="E1" s="10" t="inlineStr">
        <is>
          <t>Top 5 products in each region (Q2)</t>
        </is>
      </c>
    </row>
    <row r="2">
      <c r="A2" s="11" t="inlineStr">
        <is>
          <t>Product id</t>
        </is>
      </c>
      <c r="B2" s="11" t="inlineStr">
        <is>
          <t>Sales</t>
        </is>
      </c>
      <c r="E2" s="11" t="inlineStr">
        <is>
          <t>Region</t>
        </is>
      </c>
      <c r="F2" s="11" t="inlineStr">
        <is>
          <t>Rank in region</t>
        </is>
      </c>
      <c r="G2" s="11" t="inlineStr">
        <is>
          <t>Product id</t>
        </is>
      </c>
      <c r="H2" s="11" t="inlineStr">
        <is>
          <t>Sales</t>
        </is>
      </c>
    </row>
    <row r="3">
      <c r="A3" t="inlineStr">
        <is>
          <t>TEC-CO-10004722</t>
        </is>
      </c>
      <c r="B3" s="12" t="n">
        <v>59514</v>
      </c>
      <c r="E3" t="inlineStr">
        <is>
          <t>Central</t>
        </is>
      </c>
      <c r="F3" t="n">
        <v>1</v>
      </c>
      <c r="G3" t="inlineStr">
        <is>
          <t>TEC-CO-10004722</t>
        </is>
      </c>
      <c r="H3" s="12" t="n">
        <v>16975</v>
      </c>
    </row>
    <row r="4">
      <c r="A4" t="inlineStr">
        <is>
          <t>OFF-BI-10003527</t>
        </is>
      </c>
      <c r="B4" s="12" t="n">
        <v>26525.3</v>
      </c>
      <c r="E4" t="inlineStr">
        <is>
          <t>Central</t>
        </is>
      </c>
      <c r="F4" t="n">
        <v>2</v>
      </c>
      <c r="G4" t="inlineStr">
        <is>
          <t>TEC-MA-10000822</t>
        </is>
      </c>
      <c r="H4" s="12" t="n">
        <v>13770</v>
      </c>
    </row>
    <row r="5">
      <c r="A5" t="inlineStr">
        <is>
          <t>TEC-MA-10002412</t>
        </is>
      </c>
      <c r="B5" s="12" t="n">
        <v>21734.4</v>
      </c>
      <c r="E5" t="inlineStr">
        <is>
          <t>Central</t>
        </is>
      </c>
      <c r="F5" t="n">
        <v>3</v>
      </c>
      <c r="G5" t="inlineStr">
        <is>
          <t>OFF-BI-10001120</t>
        </is>
      </c>
      <c r="H5" s="12" t="n">
        <v>11056.5</v>
      </c>
    </row>
    <row r="6">
      <c r="A6" t="inlineStr">
        <is>
          <t>FUR-CH-10002024</t>
        </is>
      </c>
      <c r="B6" s="12" t="n">
        <v>21096.2</v>
      </c>
      <c r="E6" t="inlineStr">
        <is>
          <t>Central</t>
        </is>
      </c>
      <c r="F6" t="n">
        <v>4</v>
      </c>
      <c r="G6" t="inlineStr">
        <is>
          <t>OFF-BI-10000545</t>
        </is>
      </c>
      <c r="H6" s="12" t="n">
        <v>10132.7</v>
      </c>
    </row>
    <row r="7">
      <c r="A7" t="inlineStr">
        <is>
          <t>OFF-BI-10001359</t>
        </is>
      </c>
      <c r="B7" s="12" t="n">
        <v>19090.2</v>
      </c>
      <c r="E7" t="inlineStr">
        <is>
          <t>Central</t>
        </is>
      </c>
      <c r="F7" t="n">
        <v>5</v>
      </c>
      <c r="G7" t="inlineStr">
        <is>
          <t>OFF-BI-10004995</t>
        </is>
      </c>
      <c r="H7" s="12" t="n">
        <v>8416.1</v>
      </c>
    </row>
    <row r="8">
      <c r="A8" t="inlineStr">
        <is>
          <t>OFF-BI-10000545</t>
        </is>
      </c>
      <c r="B8" s="12" t="n">
        <v>18249</v>
      </c>
      <c r="E8" t="inlineStr">
        <is>
          <t>East</t>
        </is>
      </c>
      <c r="F8" t="n">
        <v>1</v>
      </c>
      <c r="G8" t="inlineStr">
        <is>
          <t>TEC-CO-10004722</t>
        </is>
      </c>
      <c r="H8" s="12" t="n">
        <v>29099</v>
      </c>
    </row>
    <row r="9">
      <c r="A9" t="inlineStr">
        <is>
          <t>TEC-CO-10001449</t>
        </is>
      </c>
      <c r="B9" s="12" t="n">
        <v>18151.2</v>
      </c>
      <c r="E9" t="inlineStr">
        <is>
          <t>East</t>
        </is>
      </c>
      <c r="F9" t="n">
        <v>2</v>
      </c>
      <c r="G9" t="inlineStr">
        <is>
          <t>TEC-MA-10001047</t>
        </is>
      </c>
      <c r="H9" s="12" t="n">
        <v>13767</v>
      </c>
    </row>
    <row r="10">
      <c r="A10" t="inlineStr">
        <is>
          <t>TEC-MA-10001127</t>
        </is>
      </c>
      <c r="B10" s="12" t="n">
        <v>17906.4</v>
      </c>
      <c r="E10" t="inlineStr">
        <is>
          <t>East</t>
        </is>
      </c>
      <c r="F10" t="n">
        <v>3</v>
      </c>
      <c r="G10" t="inlineStr">
        <is>
          <t>FUR-BO-10004834</t>
        </is>
      </c>
      <c r="H10" s="12" t="n">
        <v>11274.1</v>
      </c>
    </row>
    <row r="11">
      <c r="A11" t="inlineStr">
        <is>
          <t>OFF-BI-10004995</t>
        </is>
      </c>
      <c r="B11" s="12" t="n">
        <v>17354.8</v>
      </c>
      <c r="E11" t="inlineStr">
        <is>
          <t>East</t>
        </is>
      </c>
      <c r="F11" t="n">
        <v>4</v>
      </c>
      <c r="G11" t="inlineStr">
        <is>
          <t>OFF-BI-10001359</t>
        </is>
      </c>
      <c r="H11" s="12" t="n">
        <v>8463.6</v>
      </c>
    </row>
    <row r="12">
      <c r="A12" s="14" t="inlineStr">
        <is>
          <t>OFF-SU-10000151</t>
        </is>
      </c>
      <c r="B12" s="15" t="n">
        <v>16325.8</v>
      </c>
      <c r="E12" t="inlineStr">
        <is>
          <t>East</t>
        </is>
      </c>
      <c r="F12" t="n">
        <v>5</v>
      </c>
      <c r="G12" t="inlineStr">
        <is>
          <t>TEC-CO-10001449</t>
        </is>
      </c>
      <c r="H12" s="12" t="n">
        <v>8316</v>
      </c>
    </row>
    <row r="13">
      <c r="E13" t="inlineStr">
        <is>
          <t>South</t>
        </is>
      </c>
      <c r="F13" t="n">
        <v>1</v>
      </c>
      <c r="G13" t="inlineStr">
        <is>
          <t>TEC-MA-10002412</t>
        </is>
      </c>
      <c r="H13" s="12" t="n">
        <v>21734.4</v>
      </c>
    </row>
    <row r="14">
      <c r="E14" t="inlineStr">
        <is>
          <t>South</t>
        </is>
      </c>
      <c r="F14" t="n">
        <v>2</v>
      </c>
      <c r="G14" t="inlineStr">
        <is>
          <t>TEC-MA-10001127</t>
        </is>
      </c>
      <c r="H14" s="12" t="n">
        <v>11116.4</v>
      </c>
    </row>
    <row r="15">
      <c r="E15" t="inlineStr">
        <is>
          <t>South</t>
        </is>
      </c>
      <c r="F15" t="n">
        <v>3</v>
      </c>
      <c r="G15" t="inlineStr">
        <is>
          <t>OFF-BI-10001359</t>
        </is>
      </c>
      <c r="H15" s="12" t="n">
        <v>8053.2</v>
      </c>
    </row>
    <row r="16">
      <c r="E16" t="inlineStr">
        <is>
          <t>South</t>
        </is>
      </c>
      <c r="F16" t="n">
        <v>4</v>
      </c>
      <c r="G16" t="inlineStr">
        <is>
          <t>TEC-MA-10004125</t>
        </is>
      </c>
      <c r="H16" s="12" t="n">
        <v>7840</v>
      </c>
    </row>
    <row r="17">
      <c r="E17" t="inlineStr">
        <is>
          <t>South</t>
        </is>
      </c>
      <c r="F17" t="n">
        <v>5</v>
      </c>
      <c r="G17" t="inlineStr">
        <is>
          <t>OFF-BI-10003527</t>
        </is>
      </c>
      <c r="H17" s="12" t="n">
        <v>7391.4</v>
      </c>
    </row>
    <row r="18">
      <c r="E18" t="inlineStr">
        <is>
          <t>West</t>
        </is>
      </c>
      <c r="F18" t="n">
        <v>1</v>
      </c>
      <c r="G18" t="inlineStr">
        <is>
          <t>TEC-CO-10004722</t>
        </is>
      </c>
      <c r="H18" s="12" t="n">
        <v>13440</v>
      </c>
    </row>
    <row r="19">
      <c r="E19" t="inlineStr">
        <is>
          <t>West</t>
        </is>
      </c>
      <c r="F19" t="n">
        <v>2</v>
      </c>
      <c r="G19" t="inlineStr">
        <is>
          <t>OFF-SU-10000151</t>
        </is>
      </c>
      <c r="H19" s="12" t="n">
        <v>12592.3</v>
      </c>
    </row>
    <row r="20">
      <c r="E20" t="inlineStr">
        <is>
          <t>West</t>
        </is>
      </c>
      <c r="F20" t="n">
        <v>3</v>
      </c>
      <c r="G20" t="inlineStr">
        <is>
          <t>FUR-CH-10001215</t>
        </is>
      </c>
      <c r="H20" s="12" t="n">
        <v>9604</v>
      </c>
    </row>
    <row r="21">
      <c r="E21" t="inlineStr">
        <is>
          <t>West</t>
        </is>
      </c>
      <c r="F21" t="n">
        <v>4</v>
      </c>
      <c r="G21" t="inlineStr">
        <is>
          <t>OFF-BI-10003527</t>
        </is>
      </c>
      <c r="H21" s="12" t="n">
        <v>7804.8</v>
      </c>
    </row>
    <row r="22">
      <c r="E22" s="14" t="inlineStr">
        <is>
          <t>West</t>
        </is>
      </c>
      <c r="F22" s="14" t="n">
        <v>5</v>
      </c>
      <c r="G22" s="14" t="inlineStr">
        <is>
          <t>TEC-AC-10003832</t>
        </is>
      </c>
      <c r="H22" s="15" t="n">
        <v>7722.7</v>
      </c>
    </row>
  </sheetData>
  <conditionalFormatting sqref="B3:B12">
    <cfRule type="dataBar" priority="1">
      <dataBar>
        <cfvo type="num" val="0"/>
        <cfvo type="max"/>
        <color rgb="002F4A6D"/>
      </dataBar>
    </cfRule>
  </conditionalFormatting>
  <conditionalFormatting sqref="H3:H22">
    <cfRule type="dataBar" priority="2">
      <dataBar>
        <cfvo type="num" val="0"/>
        <cfvo type="max"/>
        <color rgb="002F4A6D"/>
      </dataBar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5" customWidth="1" min="3" max="3"/>
    <col width="10" customWidth="1" min="4" max="4"/>
    <col width="16" customWidth="1" min="5" max="5"/>
    <col width="13" customWidth="1" min="6" max="6"/>
  </cols>
  <sheetData>
    <row r="1">
      <c r="A1" s="10" t="inlineStr">
        <is>
          <t>Category share of sales and profit (Q7)</t>
        </is>
      </c>
    </row>
    <row r="2">
      <c r="A2" s="11" t="inlineStr">
        <is>
          <t>Category</t>
        </is>
      </c>
      <c r="B2" s="11" t="inlineStr">
        <is>
          <t>Sales</t>
        </is>
      </c>
      <c r="C2" s="11" t="inlineStr">
        <is>
          <t>Sales share %</t>
        </is>
      </c>
      <c r="D2" s="11" t="inlineStr">
        <is>
          <t>Profit</t>
        </is>
      </c>
      <c r="E2" s="11" t="inlineStr">
        <is>
          <t>Profit share %</t>
        </is>
      </c>
    </row>
    <row r="3">
      <c r="A3" t="inlineStr">
        <is>
          <t>Technology</t>
        </is>
      </c>
      <c r="B3" s="12" t="n">
        <v>806873.5</v>
      </c>
      <c r="C3" s="13" t="n">
        <v>36.41</v>
      </c>
      <c r="D3" s="12" t="n">
        <v>76433.5</v>
      </c>
      <c r="E3" s="13" t="n">
        <v>37.25</v>
      </c>
    </row>
    <row r="4">
      <c r="A4" t="inlineStr">
        <is>
          <t>Furniture</t>
        </is>
      </c>
      <c r="B4" s="12" t="n">
        <v>715340.7</v>
      </c>
      <c r="C4" s="13" t="n">
        <v>32.28</v>
      </c>
      <c r="D4" s="12" t="n">
        <v>66480.7</v>
      </c>
      <c r="E4" s="13" t="n">
        <v>32.4</v>
      </c>
    </row>
    <row r="5">
      <c r="A5" s="14" t="inlineStr">
        <is>
          <t>Office Supplies</t>
        </is>
      </c>
      <c r="B5" s="15" t="n">
        <v>693644.5</v>
      </c>
      <c r="C5" s="16" t="n">
        <v>31.3</v>
      </c>
      <c r="D5" s="15" t="n">
        <v>62254.5</v>
      </c>
      <c r="E5" s="16" t="n">
        <v>30.34</v>
      </c>
    </row>
    <row r="6"/>
    <row r="7"/>
    <row r="8">
      <c r="A8" s="10" t="inlineStr">
        <is>
          <t>Highest-sales month for each category (Q4)</t>
        </is>
      </c>
    </row>
    <row r="9">
      <c r="A9" s="11" t="inlineStr">
        <is>
          <t>Category</t>
        </is>
      </c>
      <c r="B9" s="11" t="inlineStr">
        <is>
          <t>Order year month</t>
        </is>
      </c>
      <c r="C9" s="11" t="inlineStr">
        <is>
          <t>Sales</t>
        </is>
      </c>
    </row>
    <row r="10">
      <c r="A10" t="inlineStr">
        <is>
          <t>Furniture</t>
        </is>
      </c>
      <c r="B10" t="inlineStr">
        <is>
          <t>2022-10</t>
        </is>
      </c>
      <c r="C10" s="12" t="n">
        <v>42888.9</v>
      </c>
    </row>
    <row r="11">
      <c r="A11" t="inlineStr">
        <is>
          <t>Office Supplies</t>
        </is>
      </c>
      <c r="B11" t="inlineStr">
        <is>
          <t>2023-02</t>
        </is>
      </c>
      <c r="C11" s="12" t="n">
        <v>44118.5</v>
      </c>
    </row>
    <row r="12">
      <c r="A12" s="14" t="inlineStr">
        <is>
          <t>Technology</t>
        </is>
      </c>
      <c r="B12" s="14" t="inlineStr">
        <is>
          <t>2023-10</t>
        </is>
      </c>
      <c r="C12" s="15" t="n">
        <v>53000.1</v>
      </c>
    </row>
    <row r="13"/>
    <row r="14"/>
    <row r="15">
      <c r="A15" s="10" t="inlineStr">
        <is>
          <t>Sub-categories ranked by profit within category (Q8)</t>
        </is>
      </c>
    </row>
    <row r="16">
      <c r="A16" s="11" t="inlineStr">
        <is>
          <t>Category</t>
        </is>
      </c>
      <c r="B16" s="11" t="inlineStr">
        <is>
          <t>Sub category</t>
        </is>
      </c>
      <c r="C16" s="11" t="inlineStr">
        <is>
          <t>Sales</t>
        </is>
      </c>
      <c r="D16" s="11" t="inlineStr">
        <is>
          <t>Profit</t>
        </is>
      </c>
      <c r="E16" s="11" t="inlineStr">
        <is>
          <t>Margin %</t>
        </is>
      </c>
      <c r="F16" s="11" t="inlineStr">
        <is>
          <t>Profit rank</t>
        </is>
      </c>
    </row>
    <row r="17">
      <c r="A17" t="inlineStr">
        <is>
          <t>Furniture</t>
        </is>
      </c>
      <c r="B17" t="inlineStr">
        <is>
          <t>Chairs</t>
        </is>
      </c>
      <c r="C17" s="12" t="n">
        <v>316825.1</v>
      </c>
      <c r="D17" s="12" t="n">
        <v>29815.1</v>
      </c>
      <c r="E17" s="13" t="n">
        <v>9.41</v>
      </c>
      <c r="F17" t="n">
        <v>1</v>
      </c>
    </row>
    <row r="18">
      <c r="A18" t="inlineStr">
        <is>
          <t>Furniture</t>
        </is>
      </c>
      <c r="B18" t="inlineStr">
        <is>
          <t>Tables</t>
        </is>
      </c>
      <c r="C18" s="12" t="n">
        <v>199361.2</v>
      </c>
      <c r="D18" s="12" t="n">
        <v>18591.2</v>
      </c>
      <c r="E18" s="13" t="n">
        <v>9.33</v>
      </c>
      <c r="F18" t="n">
        <v>2</v>
      </c>
    </row>
    <row r="19">
      <c r="A19" t="inlineStr">
        <is>
          <t>Furniture</t>
        </is>
      </c>
      <c r="B19" t="inlineStr">
        <is>
          <t>Bookcases</t>
        </is>
      </c>
      <c r="C19" s="12" t="n">
        <v>110816.1</v>
      </c>
      <c r="D19" s="12" t="n">
        <v>10496.1</v>
      </c>
      <c r="E19" s="13" t="n">
        <v>9.470000000000001</v>
      </c>
      <c r="F19" t="n">
        <v>3</v>
      </c>
    </row>
    <row r="20">
      <c r="A20" t="inlineStr">
        <is>
          <t>Furniture</t>
        </is>
      </c>
      <c r="B20" t="inlineStr">
        <is>
          <t>Furnishings</t>
        </is>
      </c>
      <c r="C20" s="12" t="n">
        <v>88338.3</v>
      </c>
      <c r="D20" s="12" t="n">
        <v>7578.3</v>
      </c>
      <c r="E20" s="13" t="n">
        <v>8.58</v>
      </c>
      <c r="F20" t="n">
        <v>4</v>
      </c>
    </row>
    <row r="21">
      <c r="A21" t="inlineStr">
        <is>
          <t>Office Supplies</t>
        </is>
      </c>
      <c r="B21" t="inlineStr">
        <is>
          <t>Storage</t>
        </is>
      </c>
      <c r="C21" s="12" t="n">
        <v>215908</v>
      </c>
      <c r="D21" s="12" t="n">
        <v>19538</v>
      </c>
      <c r="E21" s="13" t="n">
        <v>9.050000000000001</v>
      </c>
      <c r="F21" t="n">
        <v>1</v>
      </c>
    </row>
    <row r="22">
      <c r="A22" t="inlineStr">
        <is>
          <t>Office Supplies</t>
        </is>
      </c>
      <c r="B22" t="inlineStr">
        <is>
          <t>Binders</t>
        </is>
      </c>
      <c r="C22" s="12" t="n">
        <v>196038.6</v>
      </c>
      <c r="D22" s="12" t="n">
        <v>19208.6</v>
      </c>
      <c r="E22" s="13" t="n">
        <v>9.800000000000001</v>
      </c>
      <c r="F22" t="n">
        <v>2</v>
      </c>
    </row>
    <row r="23">
      <c r="A23" t="inlineStr">
        <is>
          <t>Office Supplies</t>
        </is>
      </c>
      <c r="B23" t="inlineStr">
        <is>
          <t>Appliances</t>
        </is>
      </c>
      <c r="C23" s="12" t="n">
        <v>103697.7</v>
      </c>
      <c r="D23" s="12" t="n">
        <v>10267.7</v>
      </c>
      <c r="E23" s="13" t="n">
        <v>9.9</v>
      </c>
      <c r="F23" t="n">
        <v>3</v>
      </c>
    </row>
    <row r="24">
      <c r="A24" t="inlineStr">
        <is>
          <t>Office Supplies</t>
        </is>
      </c>
      <c r="B24" t="inlineStr">
        <is>
          <t>Paper</t>
        </is>
      </c>
      <c r="C24" s="12" t="n">
        <v>75831.3</v>
      </c>
      <c r="D24" s="12" t="n">
        <v>6001.3</v>
      </c>
      <c r="E24" s="13" t="n">
        <v>7.91</v>
      </c>
      <c r="F24" t="n">
        <v>4</v>
      </c>
    </row>
    <row r="25">
      <c r="A25" t="inlineStr">
        <is>
          <t>Office Supplies</t>
        </is>
      </c>
      <c r="B25" t="inlineStr">
        <is>
          <t>Supplies</t>
        </is>
      </c>
      <c r="C25" s="12" t="n">
        <v>45058.1</v>
      </c>
      <c r="D25" s="12" t="n">
        <v>3438.1</v>
      </c>
      <c r="E25" s="13" t="n">
        <v>7.63</v>
      </c>
      <c r="F25" t="n">
        <v>5</v>
      </c>
    </row>
    <row r="26">
      <c r="A26" t="inlineStr">
        <is>
          <t>Office Supplies</t>
        </is>
      </c>
      <c r="B26" t="inlineStr">
        <is>
          <t>Art</t>
        </is>
      </c>
      <c r="C26" s="12" t="n">
        <v>26259.8</v>
      </c>
      <c r="D26" s="12" t="n">
        <v>1859.8</v>
      </c>
      <c r="E26" s="13" t="n">
        <v>7.08</v>
      </c>
      <c r="F26" t="n">
        <v>6</v>
      </c>
    </row>
    <row r="27">
      <c r="A27" t="inlineStr">
        <is>
          <t>Office Supplies</t>
        </is>
      </c>
      <c r="B27" t="inlineStr">
        <is>
          <t>Envelopes</t>
        </is>
      </c>
      <c r="C27" s="12" t="n">
        <v>15917.2</v>
      </c>
      <c r="D27" s="12" t="n">
        <v>1247.2</v>
      </c>
      <c r="E27" s="13" t="n">
        <v>7.84</v>
      </c>
      <c r="F27" t="n">
        <v>7</v>
      </c>
    </row>
    <row r="28">
      <c r="A28" t="inlineStr">
        <is>
          <t>Office Supplies</t>
        </is>
      </c>
      <c r="B28" t="inlineStr">
        <is>
          <t>Labels</t>
        </is>
      </c>
      <c r="C28" s="12" t="n">
        <v>11994.9</v>
      </c>
      <c r="D28" s="12" t="n">
        <v>644.9</v>
      </c>
      <c r="E28" s="13" t="n">
        <v>5.38</v>
      </c>
      <c r="F28" t="n">
        <v>8</v>
      </c>
    </row>
    <row r="29">
      <c r="A29" t="inlineStr">
        <is>
          <t>Office Supplies</t>
        </is>
      </c>
      <c r="B29" t="inlineStr">
        <is>
          <t>Fasteners</t>
        </is>
      </c>
      <c r="C29" s="12" t="n">
        <v>2938.9</v>
      </c>
      <c r="D29" s="12" t="n">
        <v>48.9</v>
      </c>
      <c r="E29" s="13" t="n">
        <v>1.66</v>
      </c>
      <c r="F29" t="n">
        <v>9</v>
      </c>
    </row>
    <row r="30">
      <c r="A30" t="inlineStr">
        <is>
          <t>Technology</t>
        </is>
      </c>
      <c r="B30" t="inlineStr">
        <is>
          <t>Phones</t>
        </is>
      </c>
      <c r="C30" s="12" t="n">
        <v>318008.3</v>
      </c>
      <c r="D30" s="12" t="n">
        <v>28368.3</v>
      </c>
      <c r="E30" s="13" t="n">
        <v>8.92</v>
      </c>
      <c r="F30" t="n">
        <v>1</v>
      </c>
    </row>
    <row r="31">
      <c r="A31" t="inlineStr">
        <is>
          <t>Technology</t>
        </is>
      </c>
      <c r="B31" t="inlineStr">
        <is>
          <t>Machines</t>
        </is>
      </c>
      <c r="C31" s="12" t="n">
        <v>182901.7</v>
      </c>
      <c r="D31" s="12" t="n">
        <v>18121.7</v>
      </c>
      <c r="E31" s="13" t="n">
        <v>9.91</v>
      </c>
      <c r="F31" t="n">
        <v>2</v>
      </c>
    </row>
    <row r="32">
      <c r="A32" t="inlineStr">
        <is>
          <t>Technology</t>
        </is>
      </c>
      <c r="B32" t="inlineStr">
        <is>
          <t>Accessories</t>
        </is>
      </c>
      <c r="C32" s="12" t="n">
        <v>161604.6</v>
      </c>
      <c r="D32" s="12" t="n">
        <v>15444.6</v>
      </c>
      <c r="E32" s="13" t="n">
        <v>9.56</v>
      </c>
      <c r="F32" t="n">
        <v>3</v>
      </c>
    </row>
    <row r="33">
      <c r="A33" s="14" t="inlineStr">
        <is>
          <t>Technology</t>
        </is>
      </c>
      <c r="B33" s="14" t="inlineStr">
        <is>
          <t>Copiers</t>
        </is>
      </c>
      <c r="C33" s="15" t="n">
        <v>144358.9</v>
      </c>
      <c r="D33" s="15" t="n">
        <v>14498.9</v>
      </c>
      <c r="E33" s="16" t="n">
        <v>10.04</v>
      </c>
      <c r="F33" s="14" t="n">
        <v>4</v>
      </c>
    </row>
  </sheetData>
  <conditionalFormatting sqref="D17:D33">
    <cfRule type="dataBar" priority="1">
      <dataBar>
        <cfvo type="num" val="0"/>
        <cfvo type="max"/>
        <color rgb="002F4A6D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5" customWidth="1" min="4" max="4"/>
    <col width="10" customWidth="1" min="5" max="5"/>
  </cols>
  <sheetData>
    <row r="1">
      <c r="A1" s="10" t="inlineStr">
        <is>
          <t>Profit growth by sub-category, 2023 vs 2022 (Q5)</t>
        </is>
      </c>
    </row>
    <row r="2">
      <c r="A2" s="11" t="inlineStr">
        <is>
          <t>Sub category</t>
        </is>
      </c>
      <c r="B2" s="11" t="inlineStr">
        <is>
          <t>Profit 2022</t>
        </is>
      </c>
      <c r="C2" s="11" t="inlineStr">
        <is>
          <t>Profit 2023</t>
        </is>
      </c>
      <c r="D2" s="11" t="inlineStr">
        <is>
          <t>Profit growth</t>
        </is>
      </c>
      <c r="E2" s="11" t="inlineStr">
        <is>
          <t>Growth %</t>
        </is>
      </c>
    </row>
    <row r="3">
      <c r="A3" t="inlineStr">
        <is>
          <t>Machines</t>
        </is>
      </c>
      <c r="B3" s="12" t="n">
        <v>7243.2</v>
      </c>
      <c r="C3" s="12" t="n">
        <v>10878.5</v>
      </c>
      <c r="D3" s="12" t="n">
        <v>3635.3</v>
      </c>
      <c r="E3" s="13" t="n">
        <v>50.19</v>
      </c>
    </row>
    <row r="4">
      <c r="A4" t="inlineStr">
        <is>
          <t>Phones</t>
        </is>
      </c>
      <c r="B4" s="12" t="n">
        <v>13024.7</v>
      </c>
      <c r="C4" s="12" t="n">
        <v>15343.6</v>
      </c>
      <c r="D4" s="12" t="n">
        <v>2318.9</v>
      </c>
      <c r="E4" s="13" t="n">
        <v>17.8</v>
      </c>
    </row>
    <row r="5">
      <c r="A5" t="inlineStr">
        <is>
          <t>Binders</t>
        </is>
      </c>
      <c r="B5" s="12" t="n">
        <v>8685.5</v>
      </c>
      <c r="C5" s="12" t="n">
        <v>10523.1</v>
      </c>
      <c r="D5" s="12" t="n">
        <v>1837.6</v>
      </c>
      <c r="E5" s="13" t="n">
        <v>21.16</v>
      </c>
    </row>
    <row r="6">
      <c r="A6" t="inlineStr">
        <is>
          <t>Storage</t>
        </is>
      </c>
      <c r="B6" s="12" t="n">
        <v>8907.4</v>
      </c>
      <c r="C6" s="12" t="n">
        <v>10630.6</v>
      </c>
      <c r="D6" s="12" t="n">
        <v>1723.2</v>
      </c>
      <c r="E6" s="13" t="n">
        <v>19.35</v>
      </c>
    </row>
    <row r="7">
      <c r="A7" t="inlineStr">
        <is>
          <t>Accessories</t>
        </is>
      </c>
      <c r="B7" s="12" t="n">
        <v>7387.2</v>
      </c>
      <c r="C7" s="12" t="n">
        <v>8057.4</v>
      </c>
      <c r="D7" s="12" t="n">
        <v>670.2</v>
      </c>
      <c r="E7" s="13" t="n">
        <v>9.07</v>
      </c>
    </row>
    <row r="8">
      <c r="A8" t="inlineStr">
        <is>
          <t>Supplies</t>
        </is>
      </c>
      <c r="B8" s="12" t="n">
        <v>1500.7</v>
      </c>
      <c r="C8" s="12" t="n">
        <v>1937.4</v>
      </c>
      <c r="D8" s="12" t="n">
        <v>436.7</v>
      </c>
      <c r="E8" s="13" t="n">
        <v>29.1</v>
      </c>
    </row>
    <row r="9">
      <c r="A9" t="inlineStr">
        <is>
          <t>Chairs</t>
        </is>
      </c>
      <c r="B9" s="12" t="n">
        <v>14725.3</v>
      </c>
      <c r="C9" s="12" t="n">
        <v>15089.8</v>
      </c>
      <c r="D9" s="12" t="n">
        <v>364.5</v>
      </c>
      <c r="E9" s="13" t="n">
        <v>2.48</v>
      </c>
    </row>
    <row r="10">
      <c r="A10" t="inlineStr">
        <is>
          <t>Envelopes</t>
        </is>
      </c>
      <c r="B10" s="12" t="n">
        <v>607.2</v>
      </c>
      <c r="C10" s="12" t="n">
        <v>640</v>
      </c>
      <c r="D10" s="12" t="n">
        <v>32.8</v>
      </c>
      <c r="E10" s="13" t="n">
        <v>5.4</v>
      </c>
    </row>
    <row r="11">
      <c r="A11" t="inlineStr">
        <is>
          <t>Art</t>
        </is>
      </c>
      <c r="B11" s="12" t="n">
        <v>924.1</v>
      </c>
      <c r="C11" s="12" t="n">
        <v>935.7</v>
      </c>
      <c r="D11" s="12" t="n">
        <v>11.6</v>
      </c>
      <c r="E11" s="13" t="n">
        <v>1.26</v>
      </c>
    </row>
    <row r="12">
      <c r="A12" t="inlineStr">
        <is>
          <t>Fasteners</t>
        </is>
      </c>
      <c r="B12" s="12" t="n">
        <v>40.1</v>
      </c>
      <c r="C12" s="12" t="n">
        <v>8.800000000000001</v>
      </c>
      <c r="D12" s="12" t="n">
        <v>-31.3</v>
      </c>
      <c r="E12" s="13" t="n">
        <v>-78.05</v>
      </c>
    </row>
    <row r="13">
      <c r="A13" t="inlineStr">
        <is>
          <t>Labels</t>
        </is>
      </c>
      <c r="B13" s="12" t="n">
        <v>349.6</v>
      </c>
      <c r="C13" s="12" t="n">
        <v>295.3</v>
      </c>
      <c r="D13" s="12" t="n">
        <v>-54.3</v>
      </c>
      <c r="E13" s="13" t="n">
        <v>-15.53</v>
      </c>
    </row>
    <row r="14">
      <c r="A14" t="inlineStr">
        <is>
          <t>Paper</t>
        </is>
      </c>
      <c r="B14" s="12" t="n">
        <v>3058.9</v>
      </c>
      <c r="C14" s="12" t="n">
        <v>2942.4</v>
      </c>
      <c r="D14" s="12" t="n">
        <v>-116.5</v>
      </c>
      <c r="E14" s="13" t="n">
        <v>-3.81</v>
      </c>
    </row>
    <row r="15">
      <c r="A15" t="inlineStr">
        <is>
          <t>Bookcases</t>
        </is>
      </c>
      <c r="B15" s="12" t="n">
        <v>5459.5</v>
      </c>
      <c r="C15" s="12" t="n">
        <v>5036.6</v>
      </c>
      <c r="D15" s="12" t="n">
        <v>-422.9</v>
      </c>
      <c r="E15" s="13" t="n">
        <v>-7.75</v>
      </c>
    </row>
    <row r="16">
      <c r="A16" t="inlineStr">
        <is>
          <t>Furnishings</t>
        </is>
      </c>
      <c r="B16" s="12" t="n">
        <v>4236.2</v>
      </c>
      <c r="C16" s="12" t="n">
        <v>3342.1</v>
      </c>
      <c r="D16" s="12" t="n">
        <v>-894.1</v>
      </c>
      <c r="E16" s="13" t="n">
        <v>-21.11</v>
      </c>
    </row>
    <row r="17">
      <c r="A17" t="inlineStr">
        <is>
          <t>Tables</t>
        </is>
      </c>
      <c r="B17" s="12" t="n">
        <v>10315.9</v>
      </c>
      <c r="C17" s="12" t="n">
        <v>8275.299999999999</v>
      </c>
      <c r="D17" s="12" t="n">
        <v>-2040.6</v>
      </c>
      <c r="E17" s="13" t="n">
        <v>-19.78</v>
      </c>
    </row>
    <row r="18">
      <c r="A18" t="inlineStr">
        <is>
          <t>Appliances</t>
        </is>
      </c>
      <c r="B18" s="12" t="n">
        <v>6374.4</v>
      </c>
      <c r="C18" s="12" t="n">
        <v>3893.3</v>
      </c>
      <c r="D18" s="12" t="n">
        <v>-2481.1</v>
      </c>
      <c r="E18" s="13" t="n">
        <v>-38.92</v>
      </c>
    </row>
    <row r="19">
      <c r="A19" s="14" t="inlineStr">
        <is>
          <t>Copiers</t>
        </is>
      </c>
      <c r="B19" s="15" t="n">
        <v>8780.299999999999</v>
      </c>
      <c r="C19" s="15" t="n">
        <v>5718.6</v>
      </c>
      <c r="D19" s="15" t="n">
        <v>-3061.7</v>
      </c>
      <c r="E19" s="16" t="n">
        <v>-34.87</v>
      </c>
    </row>
  </sheetData>
  <conditionalFormatting sqref="D3:D19">
    <cfRule type="cellIs" priority="1" operator="lessThan" dxfId="0">
      <formula>0</formula>
    </cfRule>
  </conditionalFormatting>
  <conditionalFormatting sqref="E3:E19">
    <cfRule type="cellIs" priority="2" operator="less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1" customWidth="1" min="3" max="3"/>
    <col width="10" customWidth="1" min="4" max="4"/>
    <col width="16" customWidth="1" min="5" max="5"/>
    <col width="17" customWidth="1" min="6" max="6"/>
  </cols>
  <sheetData>
    <row r="1">
      <c r="A1" s="10" t="inlineStr">
        <is>
          <t>Regional profitability (Q9)</t>
        </is>
      </c>
    </row>
    <row r="2">
      <c r="A2" s="11" t="inlineStr">
        <is>
          <t>Region</t>
        </is>
      </c>
      <c r="B2" s="11" t="inlineStr">
        <is>
          <t>Sales</t>
        </is>
      </c>
      <c r="C2" s="11" t="inlineStr">
        <is>
          <t>Profit</t>
        </is>
      </c>
      <c r="D2" s="11" t="inlineStr">
        <is>
          <t>Margin %</t>
        </is>
      </c>
      <c r="E2" s="11" t="inlineStr">
        <is>
          <t>Sales growth %</t>
        </is>
      </c>
      <c r="F2" s="11" t="inlineStr">
        <is>
          <t>Profit rank</t>
        </is>
      </c>
    </row>
    <row r="3">
      <c r="A3" t="inlineStr">
        <is>
          <t>West</t>
        </is>
      </c>
      <c r="B3" s="12" t="n">
        <v>699858.6</v>
      </c>
      <c r="C3" s="12" t="n">
        <v>62558.6</v>
      </c>
      <c r="D3" s="13" t="n">
        <v>8.94</v>
      </c>
      <c r="E3" s="13" t="n">
        <v>-11.2</v>
      </c>
      <c r="F3" t="n">
        <v>1</v>
      </c>
    </row>
    <row r="4">
      <c r="A4" t="inlineStr">
        <is>
          <t>East</t>
        </is>
      </c>
      <c r="B4" s="12" t="n">
        <v>654320</v>
      </c>
      <c r="C4" s="12" t="n">
        <v>58220</v>
      </c>
      <c r="D4" s="13" t="n">
        <v>8.9</v>
      </c>
      <c r="E4" s="13" t="n">
        <v>11.06</v>
      </c>
      <c r="F4" t="n">
        <v>2</v>
      </c>
    </row>
    <row r="5">
      <c r="A5" t="inlineStr">
        <is>
          <t>Central</t>
        </is>
      </c>
      <c r="B5" s="12" t="n">
        <v>483668.6</v>
      </c>
      <c r="C5" s="12" t="n">
        <v>46378.6</v>
      </c>
      <c r="D5" s="13" t="n">
        <v>9.59</v>
      </c>
      <c r="E5" s="13" t="n">
        <v>13.09</v>
      </c>
      <c r="F5" t="n">
        <v>3</v>
      </c>
    </row>
    <row r="6">
      <c r="A6" s="14" t="inlineStr">
        <is>
          <t>South</t>
        </is>
      </c>
      <c r="B6" s="15" t="n">
        <v>378011.5</v>
      </c>
      <c r="C6" s="15" t="n">
        <v>38011.5</v>
      </c>
      <c r="D6" s="16" t="n">
        <v>10.06</v>
      </c>
      <c r="E6" s="16" t="n">
        <v>1.17</v>
      </c>
      <c r="F6" s="14" t="n">
        <v>4</v>
      </c>
    </row>
    <row r="7"/>
    <row r="8"/>
    <row r="9">
      <c r="A9" s="10" t="inlineStr">
        <is>
          <t>Segment profitability (Q10)</t>
        </is>
      </c>
    </row>
    <row r="10">
      <c r="A10" s="11" t="inlineStr">
        <is>
          <t>Segment</t>
        </is>
      </c>
      <c r="B10" s="11" t="inlineStr">
        <is>
          <t>Orders</t>
        </is>
      </c>
      <c r="C10" s="11" t="inlineStr">
        <is>
          <t>Sales</t>
        </is>
      </c>
      <c r="D10" s="11" t="inlineStr">
        <is>
          <t>Profit</t>
        </is>
      </c>
      <c r="E10" s="11" t="inlineStr">
        <is>
          <t>Margin %</t>
        </is>
      </c>
      <c r="F10" s="11" t="inlineStr">
        <is>
          <t>Avg order value</t>
        </is>
      </c>
    </row>
    <row r="11">
      <c r="A11" t="inlineStr">
        <is>
          <t>Consumer</t>
        </is>
      </c>
      <c r="B11" s="17" t="n">
        <v>5191</v>
      </c>
      <c r="C11" s="12" t="n">
        <v>1119696</v>
      </c>
      <c r="D11" s="12" t="n">
        <v>101586</v>
      </c>
      <c r="E11" s="13" t="n">
        <v>9.07</v>
      </c>
      <c r="F11" s="18" t="n">
        <v>215.7</v>
      </c>
    </row>
    <row r="12">
      <c r="A12" t="inlineStr">
        <is>
          <t>Corporate</t>
        </is>
      </c>
      <c r="B12" s="17" t="n">
        <v>3020</v>
      </c>
      <c r="C12" s="12" t="n">
        <v>681657.7</v>
      </c>
      <c r="D12" s="12" t="n">
        <v>65637.7</v>
      </c>
      <c r="E12" s="13" t="n">
        <v>9.630000000000001</v>
      </c>
      <c r="F12" s="18" t="n">
        <v>225.71</v>
      </c>
    </row>
    <row r="13">
      <c r="A13" s="14" t="inlineStr">
        <is>
          <t>Home Office</t>
        </is>
      </c>
      <c r="B13" s="19" t="n">
        <v>1783</v>
      </c>
      <c r="C13" s="15" t="n">
        <v>414505</v>
      </c>
      <c r="D13" s="15" t="n">
        <v>37945</v>
      </c>
      <c r="E13" s="16" t="n">
        <v>9.15</v>
      </c>
      <c r="F13" s="20" t="n">
        <v>232.48</v>
      </c>
    </row>
  </sheetData>
  <conditionalFormatting sqref="E3:E6">
    <cfRule type="cellIs" priority="1" operator="lessThan" dxfId="0">
      <formula>0</formula>
    </cfRule>
  </conditionalFormatting>
  <conditionalFormatting sqref="C3:C6">
    <cfRule type="dataBar" priority="2">
      <dataBar>
        <cfvo type="num" val="0"/>
        <cfvo type="max"/>
        <color rgb="002F4A6D"/>
      </dataBar>
    </cfRule>
  </conditionalFormatting>
  <conditionalFormatting sqref="D11:D13">
    <cfRule type="dataBar" priority="3">
      <dataBar>
        <cfvo type="num" val="0"/>
        <cfvo type="max"/>
        <color rgb="002F4A6D"/>
      </dataBar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6" customWidth="1" min="4" max="4"/>
    <col width="10" customWidth="1" min="5" max="5"/>
    <col width="10" customWidth="1" min="6" max="6"/>
  </cols>
  <sheetData>
    <row r="1">
      <c r="A1" s="10" t="inlineStr">
        <is>
          <t>Discount impact on profit (Q11)</t>
        </is>
      </c>
    </row>
    <row r="2">
      <c r="A2" s="11" t="inlineStr">
        <is>
          <t>Discount percent</t>
        </is>
      </c>
      <c r="B2" s="11" t="inlineStr">
        <is>
          <t>Order lines</t>
        </is>
      </c>
      <c r="C2" s="11" t="inlineStr">
        <is>
          <t>Sales</t>
        </is>
      </c>
      <c r="D2" s="11" t="inlineStr">
        <is>
          <t>Discount given</t>
        </is>
      </c>
      <c r="E2" s="11" t="inlineStr">
        <is>
          <t>Profit</t>
        </is>
      </c>
      <c r="F2" s="11" t="inlineStr">
        <is>
          <t>Margin %</t>
        </is>
      </c>
    </row>
    <row r="3">
      <c r="A3" t="n">
        <v>2</v>
      </c>
      <c r="B3" s="17" t="n">
        <v>2523</v>
      </c>
      <c r="C3" s="12" t="n">
        <v>563500</v>
      </c>
      <c r="D3" s="12" t="n">
        <v>11500</v>
      </c>
      <c r="E3" s="12" t="n">
        <v>59380</v>
      </c>
      <c r="F3" s="13" t="n">
        <v>10.54</v>
      </c>
    </row>
    <row r="4">
      <c r="A4" t="n">
        <v>3</v>
      </c>
      <c r="B4" s="17" t="n">
        <v>2542</v>
      </c>
      <c r="C4" s="12" t="n">
        <v>563482.7</v>
      </c>
      <c r="D4" s="12" t="n">
        <v>17427.3</v>
      </c>
      <c r="E4" s="12" t="n">
        <v>54992.7</v>
      </c>
      <c r="F4" s="13" t="n">
        <v>9.76</v>
      </c>
    </row>
    <row r="5">
      <c r="A5" t="n">
        <v>4</v>
      </c>
      <c r="B5" s="17" t="n">
        <v>2497</v>
      </c>
      <c r="C5" s="12" t="n">
        <v>538560</v>
      </c>
      <c r="D5" s="12" t="n">
        <v>22440</v>
      </c>
      <c r="E5" s="12" t="n">
        <v>48820</v>
      </c>
      <c r="F5" s="13" t="n">
        <v>9.06</v>
      </c>
    </row>
    <row r="6">
      <c r="A6" s="14" t="n">
        <v>5</v>
      </c>
      <c r="B6" s="19" t="n">
        <v>2432</v>
      </c>
      <c r="C6" s="15" t="n">
        <v>550316</v>
      </c>
      <c r="D6" s="15" t="n">
        <v>28964</v>
      </c>
      <c r="E6" s="15" t="n">
        <v>41976</v>
      </c>
      <c r="F6" s="16" t="n">
        <v>7.63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>
      <c r="A1" s="21" t="inlineStr">
        <is>
          <t>Field</t>
        </is>
      </c>
      <c r="B1" s="21" t="inlineStr">
        <is>
          <t>Meaning</t>
        </is>
      </c>
    </row>
    <row r="2">
      <c r="A2" s="22" t="inlineStr">
        <is>
          <t>sale_price</t>
        </is>
      </c>
      <c r="B2" t="inlineStr">
        <is>
          <t>list_price minus discount. Revenue = sum of sale_price.</t>
        </is>
      </c>
    </row>
    <row r="3">
      <c r="A3" s="22" t="inlineStr">
        <is>
          <t>discount</t>
        </is>
      </c>
      <c r="B3" t="inlineStr">
        <is>
          <t>list_price x discount_percent / 100</t>
        </is>
      </c>
    </row>
    <row r="4">
      <c r="A4" s="22" t="inlineStr">
        <is>
          <t>profit</t>
        </is>
      </c>
      <c r="B4" t="inlineStr">
        <is>
          <t>sale_price minus cost_price</t>
        </is>
      </c>
    </row>
    <row r="5">
      <c r="A5" s="22" t="inlineStr">
        <is>
          <t>margin_pct</t>
        </is>
      </c>
      <c r="B5" t="inlineStr">
        <is>
          <t>profit / sales x 100</t>
        </is>
      </c>
    </row>
    <row r="6">
      <c r="A6" s="22" t="inlineStr">
        <is>
          <t>growth_pct</t>
        </is>
      </c>
      <c r="B6" t="inlineStr">
        <is>
          <t>(2023 - 2022) / 2022 x 100</t>
        </is>
      </c>
    </row>
    <row r="7">
      <c r="A7" s="23" t="inlineStr"/>
      <c r="B7" t="inlineStr"/>
    </row>
    <row r="8">
      <c r="A8" s="22" t="inlineStr">
        <is>
          <t>Source</t>
        </is>
      </c>
      <c r="B8" t="inlineStr">
        <is>
          <t>Kaggle 'Retail Orders' dataset by Ankit Bansal (ankitbansal06/retail-orders)</t>
        </is>
      </c>
    </row>
    <row r="9">
      <c r="A9" s="22" t="inlineStr">
        <is>
          <t>Built by</t>
        </is>
      </c>
      <c r="B9" t="inlineStr">
        <is>
          <t>Gaurav Kalamkhede. Generated by src/excel_dashboard.py from the SQL results.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Gaurav Kalamkhede</dc:creator>
  <dc:title xmlns:dc="http://purl.org/dc/elements/1.1/">Retail Orders Dashboard</dc:title>
  <dcterms:created xmlns:dcterms="http://purl.org/dc/terms/" xmlns:xsi="http://www.w3.org/2001/XMLSchema-instance" xsi:type="dcterms:W3CDTF">2026-10-21T14:03:18Z</dcterms:created>
  <dcterms:modified xmlns:dcterms="http://purl.org/dc/terms/" xmlns:xsi="http://www.w3.org/2001/XMLSchema-instance" xsi:type="dcterms:W3CDTF">2026-10-21T14:03:18Z</dcterms:modified>
  <cp:lastModifiedBy>Gaurav Kalamkhede</cp:lastModifiedBy>
</cp:coreProperties>
</file>